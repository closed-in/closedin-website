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Alternat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7877C6"/>
      <sz val="16"/>
    </font>
    <font>
      <i val="1"/>
      <color rgb="00666666"/>
    </font>
    <font>
      <b val="1"/>
    </font>
    <font>
      <b val="1"/>
      <color rgb="00FFFFFF"/>
    </font>
    <font>
      <b val="1"/>
      <color rgb="007877C6"/>
      <sz val="13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A0A0A"/>
      </patternFill>
    </fill>
    <fill>
      <patternFill patternType="solid">
        <fgColor rgb="00F3F3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2" borderId="1" pivotButton="0" quotePrefix="0" xfId="0"/>
    <xf numFmtId="9" fontId="0" fillId="2" borderId="1" pivotButton="0" quotePrefix="0" xfId="0"/>
    <xf numFmtId="164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5" fillId="0" borderId="0" pivotButton="0" quotePrefix="0" xfId="0"/>
    <xf numFmtId="165" fontId="0" fillId="4" borderId="1" pivotButton="0" quotePrefix="0" xfId="0"/>
    <xf numFmtId="3" fontId="0" fillId="4" borderId="1" pivotButton="0" quotePrefix="0" xfId="0"/>
    <xf numFmtId="2" fontId="0" fillId="4" borderId="1" pivotButton="0" quotePrefix="0" xfId="0"/>
    <xf numFmtId="9" fontId="0" fillId="4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20" customWidth="1" min="4" max="4"/>
    <col width="14" customWidth="1" min="5" max="5"/>
    <col width="12" customWidth="1" min="6" max="6"/>
    <col width="14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closed:in Clay credit calculator</t>
        </is>
      </c>
    </row>
    <row r="2">
      <c r="A2" s="2" t="inlineStr">
        <is>
          <t>Yellow cells are inputs. Everything else is a formula. Replace the hit rates with your own after the first full run.</t>
        </is>
      </c>
    </row>
    <row r="4">
      <c r="A4" s="3" t="inlineStr">
        <is>
          <t>List size (rows)</t>
        </is>
      </c>
      <c r="B4" s="4" t="n">
        <v>1000</v>
      </c>
    </row>
    <row r="5" ht="32" customHeight="1">
      <c r="A5" s="5" t="inlineStr">
        <is>
          <t>Billing mode (1 = credits charged only when a step finds an email, 0 = charged on every attempt)</t>
        </is>
      </c>
      <c r="B5" s="4" t="n">
        <v>1</v>
      </c>
    </row>
    <row r="7" ht="44" customHeight="1">
      <c r="A7" s="6" t="inlineStr">
        <is>
          <t>Step</t>
        </is>
      </c>
      <c r="B7" s="6" t="inlineStr">
        <is>
          <t>Provider</t>
        </is>
      </c>
      <c r="C7" s="6" t="inlineStr">
        <is>
          <t>Credits per row</t>
        </is>
      </c>
      <c r="D7" s="6" t="inlineStr">
        <is>
          <t>Hit rate on rows entering this step</t>
        </is>
      </c>
      <c r="E7" s="6" t="inlineStr">
        <is>
          <t>Rows entering</t>
        </is>
      </c>
      <c r="F7" s="6" t="inlineStr">
        <is>
          <t>Rows found</t>
        </is>
      </c>
      <c r="G7" s="6" t="inlineStr">
        <is>
          <t>Rows still empty</t>
        </is>
      </c>
      <c r="H7" s="6" t="inlineStr">
        <is>
          <t>Credits (charged on found)</t>
        </is>
      </c>
      <c r="I7" s="6" t="inlineStr">
        <is>
          <t>Credits (charged on attempts)</t>
        </is>
      </c>
      <c r="J7" s="6" t="inlineStr">
        <is>
          <t>Credits (selected mode)</t>
        </is>
      </c>
    </row>
    <row r="8">
      <c r="A8" s="7" t="n">
        <v>1</v>
      </c>
      <c r="B8" s="7" t="inlineStr">
        <is>
          <t>Icypeas</t>
        </is>
      </c>
      <c r="C8" s="8" t="n">
        <v>0.5</v>
      </c>
      <c r="D8" s="9" t="n">
        <v>0.35</v>
      </c>
      <c r="E8" s="10">
        <f>$B$4</f>
        <v/>
      </c>
      <c r="F8" s="10">
        <f>E8*D8</f>
        <v/>
      </c>
      <c r="G8" s="10">
        <f>E8-F8</f>
        <v/>
      </c>
      <c r="H8" s="10">
        <f>F8*C8</f>
        <v/>
      </c>
      <c r="I8" s="10">
        <f>E8*C8</f>
        <v/>
      </c>
      <c r="J8" s="10">
        <f>IF($B$5=1,H8,I8)</f>
        <v/>
      </c>
    </row>
    <row r="9">
      <c r="A9" s="7" t="n">
        <v>2</v>
      </c>
      <c r="B9" s="7" t="inlineStr">
        <is>
          <t>LeadMagic</t>
        </is>
      </c>
      <c r="C9" s="8" t="n">
        <v>1</v>
      </c>
      <c r="D9" s="9" t="n">
        <v>0.15</v>
      </c>
      <c r="E9" s="10">
        <f>G8</f>
        <v/>
      </c>
      <c r="F9" s="10">
        <f>E9*D9</f>
        <v/>
      </c>
      <c r="G9" s="10">
        <f>E9-F9</f>
        <v/>
      </c>
      <c r="H9" s="10">
        <f>F9*C9</f>
        <v/>
      </c>
      <c r="I9" s="10">
        <f>E9*C9</f>
        <v/>
      </c>
      <c r="J9" s="10">
        <f>IF($B$5=1,H9,I9)</f>
        <v/>
      </c>
    </row>
    <row r="10">
      <c r="A10" s="7" t="n">
        <v>3</v>
      </c>
      <c r="B10" s="7" t="inlineStr">
        <is>
          <t>Enrow</t>
        </is>
      </c>
      <c r="C10" s="8" t="n">
        <v>1</v>
      </c>
      <c r="D10" s="9" t="n">
        <v>0.12</v>
      </c>
      <c r="E10" s="10">
        <f>G9</f>
        <v/>
      </c>
      <c r="F10" s="10">
        <f>E10*D10</f>
        <v/>
      </c>
      <c r="G10" s="10">
        <f>E10-F10</f>
        <v/>
      </c>
      <c r="H10" s="10">
        <f>F10*C10</f>
        <v/>
      </c>
      <c r="I10" s="10">
        <f>E10*C10</f>
        <v/>
      </c>
      <c r="J10" s="10">
        <f>IF($B$5=1,H10,I10)</f>
        <v/>
      </c>
    </row>
    <row r="11">
      <c r="A11" s="7" t="n">
        <v>4</v>
      </c>
      <c r="B11" s="7" t="inlineStr">
        <is>
          <t>Kitt</t>
        </is>
      </c>
      <c r="C11" s="8" t="n">
        <v>1</v>
      </c>
      <c r="D11" s="9" t="n">
        <v>0.08</v>
      </c>
      <c r="E11" s="10">
        <f>G10</f>
        <v/>
      </c>
      <c r="F11" s="10">
        <f>E11*D11</f>
        <v/>
      </c>
      <c r="G11" s="10">
        <f>E11-F11</f>
        <v/>
      </c>
      <c r="H11" s="10">
        <f>F11*C11</f>
        <v/>
      </c>
      <c r="I11" s="10">
        <f>E11*C11</f>
        <v/>
      </c>
      <c r="J11" s="10">
        <f>IF($B$5=1,H11,I11)</f>
        <v/>
      </c>
    </row>
    <row r="12">
      <c r="A12" s="7" t="n">
        <v>5</v>
      </c>
      <c r="B12" s="7" t="inlineStr">
        <is>
          <t>Findymail</t>
        </is>
      </c>
      <c r="C12" s="8" t="n">
        <v>2</v>
      </c>
      <c r="D12" s="9" t="n">
        <v>0.3</v>
      </c>
      <c r="E12" s="10">
        <f>G11</f>
        <v/>
      </c>
      <c r="F12" s="10">
        <f>E12*D12</f>
        <v/>
      </c>
      <c r="G12" s="10">
        <f>E12-F12</f>
        <v/>
      </c>
      <c r="H12" s="10">
        <f>F12*C12</f>
        <v/>
      </c>
      <c r="I12" s="10">
        <f>E12*C12</f>
        <v/>
      </c>
      <c r="J12" s="10">
        <f>IF($B$5=1,H12,I12)</f>
        <v/>
      </c>
    </row>
    <row r="13">
      <c r="A13" s="7" t="n">
        <v>6</v>
      </c>
      <c r="B13" s="7" t="inlineStr">
        <is>
          <t>Hunter</t>
        </is>
      </c>
      <c r="C13" s="8" t="n">
        <v>2</v>
      </c>
      <c r="D13" s="9" t="n">
        <v>0.25</v>
      </c>
      <c r="E13" s="10">
        <f>G12</f>
        <v/>
      </c>
      <c r="F13" s="10">
        <f>E13*D13</f>
        <v/>
      </c>
      <c r="G13" s="10">
        <f>E13-F13</f>
        <v/>
      </c>
      <c r="H13" s="10">
        <f>F13*C13</f>
        <v/>
      </c>
      <c r="I13" s="10">
        <f>E13*C13</f>
        <v/>
      </c>
      <c r="J13" s="10">
        <f>IF($B$5=1,H13,I13)</f>
        <v/>
      </c>
    </row>
    <row r="14">
      <c r="A14" s="7" t="n">
        <v>7</v>
      </c>
      <c r="B14" s="7" t="inlineStr">
        <is>
          <t>Prospeo</t>
        </is>
      </c>
      <c r="C14" s="8" t="n">
        <v>2</v>
      </c>
      <c r="D14" s="9" t="n">
        <v>0.25</v>
      </c>
      <c r="E14" s="10">
        <f>G13</f>
        <v/>
      </c>
      <c r="F14" s="10">
        <f>E14*D14</f>
        <v/>
      </c>
      <c r="G14" s="10">
        <f>E14-F14</f>
        <v/>
      </c>
      <c r="H14" s="10">
        <f>F14*C14</f>
        <v/>
      </c>
      <c r="I14" s="10">
        <f>E14*C14</f>
        <v/>
      </c>
      <c r="J14" s="10">
        <f>IF($B$5=1,H14,I14)</f>
        <v/>
      </c>
    </row>
    <row r="15">
      <c r="A15" s="7" t="n">
        <v>8</v>
      </c>
      <c r="B15" s="7" t="inlineStr">
        <is>
          <t>Datagma</t>
        </is>
      </c>
      <c r="C15" s="8" t="n">
        <v>2</v>
      </c>
      <c r="D15" s="9" t="n">
        <v>0.25</v>
      </c>
      <c r="E15" s="10">
        <f>G14</f>
        <v/>
      </c>
      <c r="F15" s="10">
        <f>E15*D15</f>
        <v/>
      </c>
      <c r="G15" s="10">
        <f>E15-F15</f>
        <v/>
      </c>
      <c r="H15" s="10">
        <f>F15*C15</f>
        <v/>
      </c>
      <c r="I15" s="10">
        <f>E15*C15</f>
        <v/>
      </c>
      <c r="J15" s="10">
        <f>IF($B$5=1,H15,I15)</f>
        <v/>
      </c>
    </row>
    <row r="16">
      <c r="A16" s="7" t="n">
        <v>9</v>
      </c>
      <c r="B16" s="7" t="inlineStr">
        <is>
          <t>Wiza</t>
        </is>
      </c>
      <c r="C16" s="8" t="n">
        <v>2</v>
      </c>
      <c r="D16" s="9" t="n">
        <v>0.3</v>
      </c>
      <c r="E16" s="10">
        <f>G15</f>
        <v/>
      </c>
      <c r="F16" s="10">
        <f>E16*D16</f>
        <v/>
      </c>
      <c r="G16" s="10">
        <f>E16-F16</f>
        <v/>
      </c>
      <c r="H16" s="10">
        <f>F16*C16</f>
        <v/>
      </c>
      <c r="I16" s="10">
        <f>E16*C16</f>
        <v/>
      </c>
      <c r="J16" s="10">
        <f>IF($B$5=1,H16,I16)</f>
        <v/>
      </c>
    </row>
    <row r="17">
      <c r="A17" s="7" t="n">
        <v>10</v>
      </c>
      <c r="B17" s="7" t="inlineStr">
        <is>
          <t>Dropcontact</t>
        </is>
      </c>
      <c r="C17" s="8" t="n">
        <v>2</v>
      </c>
      <c r="D17" s="9" t="n">
        <v>0.4</v>
      </c>
      <c r="E17" s="10">
        <f>G16</f>
        <v/>
      </c>
      <c r="F17" s="10">
        <f>E17*D17</f>
        <v/>
      </c>
      <c r="G17" s="10">
        <f>E17-F17</f>
        <v/>
      </c>
      <c r="H17" s="10">
        <f>F17*C17</f>
        <v/>
      </c>
      <c r="I17" s="10">
        <f>E17*C17</f>
        <v/>
      </c>
      <c r="J17" s="10">
        <f>IF($B$5=1,H17,I17)</f>
        <v/>
      </c>
    </row>
    <row r="18">
      <c r="A18" s="11" t="n"/>
      <c r="B18" s="11" t="inlineStr">
        <is>
          <t>Total</t>
        </is>
      </c>
      <c r="C18" s="11" t="n"/>
      <c r="D18" s="11" t="n"/>
      <c r="E18" s="12" t="n"/>
      <c r="F18" s="12">
        <f>SUM(F8:F17)</f>
        <v/>
      </c>
      <c r="G18" s="12">
        <f>G17</f>
        <v/>
      </c>
      <c r="H18" s="12">
        <f>SUM(H8:H17)</f>
        <v/>
      </c>
      <c r="I18" s="12">
        <f>SUM(I8:I17)</f>
        <v/>
      </c>
      <c r="J18" s="12">
        <f>SUM(J8:J17)</f>
        <v/>
      </c>
    </row>
    <row r="20">
      <c r="A20" s="13" t="inlineStr">
        <is>
          <t>Results</t>
        </is>
      </c>
    </row>
    <row r="21">
      <c r="A21" s="3" t="inlineStr">
        <is>
          <t>Find rate</t>
        </is>
      </c>
      <c r="B21" s="14">
        <f>F18/$B$4</f>
        <v/>
      </c>
    </row>
    <row r="22">
      <c r="A22" s="3" t="inlineStr">
        <is>
          <t>Rows still empty after step 10</t>
        </is>
      </c>
      <c r="B22" s="15">
        <f>G18</f>
        <v/>
      </c>
    </row>
    <row r="23">
      <c r="A23" s="3" t="inlineStr">
        <is>
          <t>Total credits (selected billing mode)</t>
        </is>
      </c>
      <c r="B23" s="15">
        <f>J18</f>
        <v/>
      </c>
    </row>
    <row r="24">
      <c r="A24" s="3" t="inlineStr">
        <is>
          <t>Credits per 1,000 prospects</t>
        </is>
      </c>
      <c r="B24" s="15">
        <f>J18/$B$4*1000</f>
        <v/>
      </c>
    </row>
    <row r="25">
      <c r="A25" s="3" t="inlineStr">
        <is>
          <t>Credits per found email</t>
        </is>
      </c>
      <c r="B25" s="16">
        <f>J18/F18</f>
        <v/>
      </c>
    </row>
    <row r="26">
      <c r="A26" s="3" t="inlineStr">
        <is>
          <t>Full chain, all 10 attempts per row, no sequencing</t>
        </is>
      </c>
      <c r="B26" s="15">
        <f>$B$4*SUM(C8:C17)</f>
        <v/>
      </c>
    </row>
    <row r="27">
      <c r="A27" s="3" t="inlineStr">
        <is>
          <t>Saving from sequencing vs running all 10 in parallel</t>
        </is>
      </c>
      <c r="B27" s="17">
        <f>1-J18/($B$4*SUM(C8:C17))</f>
        <v/>
      </c>
    </row>
    <row r="29">
      <c r="A29" s="3" t="inlineStr">
        <is>
          <t>Notes</t>
        </is>
      </c>
    </row>
    <row r="30" ht="30" customHeight="1">
      <c r="A30" s="18" t="inlineStr">
        <is>
          <t>1. Hit rate = share of the rows that enter a step and come back with an email. It is not the provider's overall find rate; later steps only see the harder rows.</t>
        </is>
      </c>
    </row>
    <row r="31" ht="30" customHeight="1">
      <c r="A31" s="18" t="inlineStr">
        <is>
          <t>2. Defaults are conservative starting points, not measurements of your list. Read the real hit rate per 'Validate &lt;Provider&gt;' column off your Clay table and type it in.</t>
        </is>
      </c>
    </row>
    <row r="32" ht="30" customHeight="1">
      <c r="A32" s="18" t="inlineStr">
        <is>
          <t>3. Rows still empty after step 10 is your expected no-email share. closed:in budgets roughly 5% on a mixed EU/US B2B list.</t>
        </is>
      </c>
    </row>
    <row r="33" ht="30" customHeight="1">
      <c r="A33" s="18" t="inlineStr">
        <is>
          <t>4. Re-runs on errored rows and an optional Hunter verification gate come on top. closed:in budgets 1,300 to 1,800 credits per 1,000 prospects all-in.</t>
        </is>
      </c>
    </row>
    <row r="34" ht="30" customHeight="1">
      <c r="A34" s="18" t="inlineStr">
        <is>
          <t>5. Reorder the providers for US-heavy or EU-heavy lists as described in the guide; the formulas do not care about the names, only the order and the numbers.</t>
        </is>
      </c>
    </row>
  </sheetData>
  <mergeCells count="7">
    <mergeCell ref="A32:J32"/>
    <mergeCell ref="A31:J31"/>
    <mergeCell ref="A30:J30"/>
    <mergeCell ref="A34:J34"/>
    <mergeCell ref="A2:J2"/>
    <mergeCell ref="A5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6" t="inlineStr">
        <is>
          <t>Step</t>
        </is>
      </c>
      <c r="B1" s="6" t="inlineStr">
        <is>
          <t>Default (mixed EU/US)</t>
        </is>
      </c>
      <c r="C1" s="6" t="inlineStr">
        <is>
          <t>US-heavy</t>
        </is>
      </c>
      <c r="D1" s="6" t="inlineStr">
        <is>
          <t>EU-heavy</t>
        </is>
      </c>
    </row>
    <row r="2">
      <c r="A2" s="7" t="n">
        <v>1</v>
      </c>
      <c r="B2" s="7" t="inlineStr">
        <is>
          <t>Icypeas</t>
        </is>
      </c>
      <c r="C2" s="7" t="inlineStr">
        <is>
          <t>Icypeas</t>
        </is>
      </c>
      <c r="D2" s="7" t="inlineStr">
        <is>
          <t>Icypeas</t>
        </is>
      </c>
    </row>
    <row r="3">
      <c r="A3" s="7" t="n">
        <v>2</v>
      </c>
      <c r="B3" s="7" t="inlineStr">
        <is>
          <t>LeadMagic</t>
        </is>
      </c>
      <c r="C3" s="7" t="inlineStr">
        <is>
          <t>LeadMagic</t>
        </is>
      </c>
      <c r="D3" s="7" t="inlineStr">
        <is>
          <t>Enrow</t>
        </is>
      </c>
    </row>
    <row r="4">
      <c r="A4" s="7" t="n">
        <v>3</v>
      </c>
      <c r="B4" s="7" t="inlineStr">
        <is>
          <t>Enrow</t>
        </is>
      </c>
      <c r="C4" s="7" t="inlineStr">
        <is>
          <t>Kitt</t>
        </is>
      </c>
      <c r="D4" s="7" t="inlineStr">
        <is>
          <t>LeadMagic</t>
        </is>
      </c>
    </row>
    <row r="5">
      <c r="A5" s="7" t="n">
        <v>4</v>
      </c>
      <c r="B5" s="7" t="inlineStr">
        <is>
          <t>Kitt</t>
        </is>
      </c>
      <c r="C5" s="7" t="inlineStr">
        <is>
          <t>Enrow</t>
        </is>
      </c>
      <c r="D5" s="7" t="inlineStr">
        <is>
          <t>Kitt</t>
        </is>
      </c>
    </row>
    <row r="6">
      <c r="A6" s="7" t="n">
        <v>5</v>
      </c>
      <c r="B6" s="7" t="inlineStr">
        <is>
          <t>Findymail</t>
        </is>
      </c>
      <c r="C6" s="7" t="inlineStr">
        <is>
          <t>Hunter</t>
        </is>
      </c>
      <c r="D6" s="7" t="inlineStr">
        <is>
          <t>Datagma</t>
        </is>
      </c>
    </row>
    <row r="7">
      <c r="A7" s="7" t="n">
        <v>6</v>
      </c>
      <c r="B7" s="7" t="inlineStr">
        <is>
          <t>Hunter</t>
        </is>
      </c>
      <c r="C7" s="7" t="inlineStr">
        <is>
          <t>Findymail</t>
        </is>
      </c>
      <c r="D7" s="7" t="inlineStr">
        <is>
          <t>Findymail</t>
        </is>
      </c>
    </row>
    <row r="8">
      <c r="A8" s="7" t="n">
        <v>7</v>
      </c>
      <c r="B8" s="7" t="inlineStr">
        <is>
          <t>Prospeo</t>
        </is>
      </c>
      <c r="C8" s="7" t="inlineStr">
        <is>
          <t>Prospeo</t>
        </is>
      </c>
      <c r="D8" s="7" t="inlineStr">
        <is>
          <t>Dropcontact</t>
        </is>
      </c>
    </row>
    <row r="9">
      <c r="A9" s="7" t="n">
        <v>8</v>
      </c>
      <c r="B9" s="7" t="inlineStr">
        <is>
          <t>Datagma</t>
        </is>
      </c>
      <c r="C9" s="7" t="inlineStr">
        <is>
          <t>Wiza</t>
        </is>
      </c>
      <c r="D9" s="7" t="inlineStr">
        <is>
          <t>Hunter</t>
        </is>
      </c>
    </row>
    <row r="10">
      <c r="A10" s="7" t="n">
        <v>9</v>
      </c>
      <c r="B10" s="7" t="inlineStr">
        <is>
          <t>Wiza</t>
        </is>
      </c>
      <c r="C10" s="7" t="inlineStr">
        <is>
          <t>Datagma</t>
        </is>
      </c>
      <c r="D10" s="7" t="inlineStr">
        <is>
          <t>Prospeo</t>
        </is>
      </c>
    </row>
    <row r="11">
      <c r="A11" s="7" t="n">
        <v>10</v>
      </c>
      <c r="B11" s="7" t="inlineStr">
        <is>
          <t>Dropcontact</t>
        </is>
      </c>
      <c r="C11" s="7" t="inlineStr">
        <is>
          <t>Dropcontact</t>
        </is>
      </c>
      <c r="D11" s="7" t="inlineStr">
        <is>
          <t>Wiza</t>
        </is>
      </c>
    </row>
    <row r="13" ht="48" customHeight="1">
      <c r="A13" s="18" t="inlineStr">
        <is>
          <t>Rule: the cheap tier (steps 1 to 4) stays first in every order. Reorder inside each tier by where a provider is strongest. Copy an order into the Calculator sheet with the matching credits per row.</t>
        </is>
      </c>
    </row>
  </sheetData>
  <mergeCells count="1"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2026-09-26T11:15:44Z</dcterms:created>
  <dcterms:modified xmlns:dcterms="http://purl.org/dc/terms/" xmlns:xsi="http://www.w3.org/2001/XMLSchema-instance" xsi:type="dcterms:W3CDTF">2026-09-26T11:15:44Z</dcterms:modified>
</cp:coreProperties>
</file>