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 2026" sheetId="1" state="visible" r:id="rId1"/>
  </sheets>
  <definedNames>
    <definedName name="_xlnm._FilterDatabase" localSheetId="0" hidden="1">'Stack 2026'!$A$4:$G$34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8">
    <font>
      <name val="Calibri"/>
      <family val="2"/>
      <color theme="1"/>
      <sz val="11"/>
      <scheme val="minor"/>
    </font>
    <font>
      <b val="1"/>
      <color rgb="007877C6"/>
      <sz val="16"/>
    </font>
    <font>
      <i val="1"/>
      <color rgb="00666666"/>
    </font>
    <font>
      <b val="1"/>
      <color rgb="00FFFFFF"/>
    </font>
    <font>
      <color rgb="000563C1"/>
      <u val="single"/>
    </font>
    <font>
      <b val="1"/>
    </font>
    <font>
      <b val="1"/>
      <sz val="1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3F3F5"/>
      </patternFill>
    </fill>
    <fill>
      <patternFill patternType="solid">
        <fgColor rgb="007877C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7" fillId="4" borderId="1" pivotButton="0" quotePrefix="0" xfId="0"/>
    <xf numFmtId="164" fontId="7" fillId="4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siness.linkedin.com/sales-solutions/sales-navigator" TargetMode="External" Id="rId1"/><Relationship Type="http://schemas.openxmlformats.org/officeDocument/2006/relationships/hyperlink" Target="https://www.apollo.io" TargetMode="External" Id="rId2"/><Relationship Type="http://schemas.openxmlformats.org/officeDocument/2006/relationships/hyperlink" Target="https://phantombuster.com" TargetMode="External" Id="rId3"/><Relationship Type="http://schemas.openxmlformats.org/officeDocument/2006/relationships/hyperlink" Target="https://outscraper.com" TargetMode="External" Id="rId4"/><Relationship Type="http://schemas.openxmlformats.org/officeDocument/2006/relationships/hyperlink" Target="https://apify.com" TargetMode="External" Id="rId5"/><Relationship Type="http://schemas.openxmlformats.org/officeDocument/2006/relationships/hyperlink" Target="https://www.clay.com" TargetMode="External" Id="rId6"/><Relationship Type="http://schemas.openxmlformats.org/officeDocument/2006/relationships/hyperlink" Target="https://www.findymail.com" TargetMode="External" Id="rId7"/><Relationship Type="http://schemas.openxmlformats.org/officeDocument/2006/relationships/hyperlink" Target="https://datagma.com" TargetMode="External" Id="rId8"/><Relationship Type="http://schemas.openxmlformats.org/officeDocument/2006/relationships/hyperlink" Target="https://hunter.io" TargetMode="External" Id="rId9"/><Relationship Type="http://schemas.openxmlformats.org/officeDocument/2006/relationships/hyperlink" Target="https://instantly.ai" TargetMode="External" Id="rId10"/><Relationship Type="http://schemas.openxmlformats.org/officeDocument/2006/relationships/hyperlink" Target="https://www.cloudflare.com" TargetMode="External" Id="rId11"/><Relationship Type="http://schemas.openxmlformats.org/officeDocument/2006/relationships/hyperlink" Target="https://workspace.google.com" TargetMode="External" Id="rId12"/><Relationship Type="http://schemas.openxmlformats.org/officeDocument/2006/relationships/hyperlink" Target="https://www.close.com" TargetMode="External" Id="rId13"/><Relationship Type="http://schemas.openxmlformats.org/officeDocument/2006/relationships/hyperlink" Target="https://n8n.io" TargetMode="External" Id="rId14"/><Relationship Type="http://schemas.openxmlformats.org/officeDocument/2006/relationships/hyperlink" Target="https://neetocal.com" TargetMode="External" Id="rId15"/><Relationship Type="http://schemas.openxmlformats.org/officeDocument/2006/relationships/hyperlink" Target="https://slack.com" TargetMode="External" Id="rId16"/><Relationship Type="http://schemas.openxmlformats.org/officeDocument/2006/relationships/hyperlink" Target="https://claude.ai" TargetMode="External" Id="rId17"/><Relationship Type="http://schemas.openxmlformats.org/officeDocument/2006/relationships/hyperlink" Target="https://chatgpt.com" TargetMode="External" Id="rId18"/><Relationship Type="http://schemas.openxmlformats.org/officeDocument/2006/relationships/hyperlink" Target="https://www.anthropic.com" TargetMode="External" Id="rId19"/><Relationship Type="http://schemas.openxmlformats.org/officeDocument/2006/relationships/hyperlink" Target="https://vercel.com" TargetMode="External" Id="rId20"/><Relationship Type="http://schemas.openxmlformats.org/officeDocument/2006/relationships/hyperlink" Target="https://supabase.com" TargetMode="External" Id="rId21"/><Relationship Type="http://schemas.openxmlformats.org/officeDocument/2006/relationships/hyperlink" Target="https://fireflies.ai" TargetMode="External" Id="rId22"/><Relationship Type="http://schemas.openxmlformats.org/officeDocument/2006/relationships/hyperlink" Target="https://www.moneybird.nl" TargetMode="External" Id="rId23"/><Relationship Type="http://schemas.openxmlformats.org/officeDocument/2006/relationships/hyperlink" Target="https://www.beehiiv.com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8" customWidth="1" min="4" max="4"/>
    <col width="26" customWidth="1" min="5" max="5"/>
    <col width="70" customWidth="1" min="6" max="6"/>
    <col width="44" customWidth="1" min="7" max="7"/>
  </cols>
  <sheetData>
    <row r="1">
      <c r="A1" s="1" t="inlineStr">
        <is>
          <t>The closed:in GTM stack (2026)</t>
        </is>
      </c>
    </row>
    <row r="2">
      <c r="A2" s="2" t="inlineStr">
        <is>
          <t>24 tools, 6 categories, real monthly cost, honest take per tool. No affiliate links. Costs in EUR per month; 'Variable' means usage-based.</t>
        </is>
      </c>
    </row>
    <row r="4" ht="30" customHeight="1">
      <c r="A4" s="3" t="inlineStr">
        <is>
          <t>Category</t>
        </is>
      </c>
      <c r="B4" s="3" t="inlineStr">
        <is>
          <t>Tool</t>
        </is>
      </c>
      <c r="C4" s="3" t="inlineStr">
        <is>
          <t>Tier</t>
        </is>
      </c>
      <c r="D4" s="3" t="inlineStr">
        <is>
          <t>Monthly cost (EUR)</t>
        </is>
      </c>
      <c r="E4" s="3" t="inlineStr">
        <is>
          <t>Cost note</t>
        </is>
      </c>
      <c r="F4" s="3" t="inlineStr">
        <is>
          <t>Our take</t>
        </is>
      </c>
      <c r="G4" s="3" t="inlineStr">
        <is>
          <t>Link</t>
        </is>
      </c>
    </row>
    <row r="5">
      <c r="A5" s="4" t="inlineStr">
        <is>
          <t>Sourcing &amp; prospect data</t>
        </is>
      </c>
      <c r="B5" s="4" t="inlineStr">
        <is>
          <t>LinkedIn Sales Navigator</t>
        </is>
      </c>
      <c r="C5" s="4" t="inlineStr">
        <is>
          <t>Core</t>
        </is>
      </c>
      <c r="D5" s="5" t="n">
        <v>99</v>
      </c>
      <c r="E5" s="4" t="inlineStr">
        <is>
          <t>per seat</t>
        </is>
      </c>
      <c r="F5" s="4" t="inlineStr">
        <is>
          <t>Non-negotiable. Best source for verified people data and account info. Boolean search beats Apollo for niche roles.</t>
        </is>
      </c>
      <c r="G5" s="6" t="inlineStr">
        <is>
          <t>https://business.linkedin.com/sales-solutions/sales-navigator</t>
        </is>
      </c>
    </row>
    <row r="6">
      <c r="A6" s="4" t="inlineStr">
        <is>
          <t>Sourcing &amp; prospect data</t>
        </is>
      </c>
      <c r="B6" s="4" t="inlineStr">
        <is>
          <t>Apollo.io</t>
        </is>
      </c>
      <c r="C6" s="4" t="inlineStr">
        <is>
          <t>Core</t>
        </is>
      </c>
      <c r="D6" s="5" t="n">
        <v>99</v>
      </c>
      <c r="E6" s="4" t="inlineStr">
        <is>
          <t>per seat</t>
        </is>
      </c>
      <c r="F6" s="4" t="inlineStr">
        <is>
          <t>Volume sourcing + email enrichment in one. Great US data, mediocre NL. Use for sourcing, not as primary verifier.</t>
        </is>
      </c>
      <c r="G6" s="6" t="inlineStr">
        <is>
          <t>https://www.apollo.io</t>
        </is>
      </c>
    </row>
    <row r="7">
      <c r="A7" s="4" t="inlineStr">
        <is>
          <t>Sourcing &amp; prospect data</t>
        </is>
      </c>
      <c r="B7" s="4" t="inlineStr">
        <is>
          <t>PhantomBuster</t>
        </is>
      </c>
      <c r="C7" s="4" t="inlineStr">
        <is>
          <t>Use case</t>
        </is>
      </c>
      <c r="D7" s="5" t="n">
        <v>56</v>
      </c>
      <c r="E7" s="4" t="inlineStr"/>
      <c r="F7" s="4" t="inlineStr">
        <is>
          <t>LinkedIn search export and Sales Nav scraping. Skip if you only need 1 or 2 exports a month.</t>
        </is>
      </c>
      <c r="G7" s="6" t="inlineStr">
        <is>
          <t>https://phantombuster.com</t>
        </is>
      </c>
    </row>
    <row r="8">
      <c r="A8" s="4" t="inlineStr">
        <is>
          <t>Sourcing &amp; prospect data</t>
        </is>
      </c>
      <c r="B8" s="4" t="inlineStr">
        <is>
          <t>Google Maps + Outscraper</t>
        </is>
      </c>
      <c r="C8" s="4" t="inlineStr">
        <is>
          <t>Niche</t>
        </is>
      </c>
      <c r="D8" s="5" t="n">
        <v>50</v>
      </c>
      <c r="E8" s="4" t="inlineStr">
        <is>
          <t>variable</t>
        </is>
      </c>
      <c r="F8" s="4" t="inlineStr">
        <is>
          <t>Hospitality, retail, local-services ICPs. The 'unreachable ICP' trick from the Jamezz case study.</t>
        </is>
      </c>
      <c r="G8" s="6" t="inlineStr">
        <is>
          <t>https://outscraper.com</t>
        </is>
      </c>
    </row>
    <row r="9">
      <c r="A9" s="4" t="inlineStr">
        <is>
          <t>Sourcing &amp; prospect data</t>
        </is>
      </c>
      <c r="B9" s="4" t="inlineStr">
        <is>
          <t>Apify</t>
        </is>
      </c>
      <c r="C9" s="4" t="inlineStr">
        <is>
          <t>Niche</t>
        </is>
      </c>
      <c r="D9" s="4" t="inlineStr">
        <is>
          <t>Variable</t>
        </is>
      </c>
      <c r="E9" s="4" t="inlineStr">
        <is>
          <t>variable</t>
        </is>
      </c>
      <c r="F9" s="4" t="inlineStr">
        <is>
          <t>Custom scrapers when standard sourcing fails. Put a cost cap on every run.</t>
        </is>
      </c>
      <c r="G9" s="6" t="inlineStr">
        <is>
          <t>https://apify.com</t>
        </is>
      </c>
    </row>
    <row r="10">
      <c r="A10" s="7" t="n"/>
      <c r="B10" s="8" t="inlineStr">
        <is>
          <t>Subtotal Sourcing &amp; prospect data</t>
        </is>
      </c>
      <c r="C10" s="7" t="n"/>
      <c r="D10" s="9">
        <f>SUM(D5:D9)</f>
        <v/>
      </c>
      <c r="E10" s="7" t="inlineStr">
        <is>
          <t>closed:in budgets ~€500 incl. variable items</t>
        </is>
      </c>
      <c r="F10" s="7" t="n"/>
      <c r="G10" s="7" t="n"/>
    </row>
    <row r="11">
      <c r="A11" s="4" t="inlineStr">
        <is>
          <t>Enrichment &amp; orchestration</t>
        </is>
      </c>
      <c r="B11" s="4" t="inlineStr">
        <is>
          <t>Clay</t>
        </is>
      </c>
      <c r="C11" s="4" t="inlineStr">
        <is>
          <t>Core, Partner</t>
        </is>
      </c>
      <c r="D11" s="5" t="n">
        <v>349</v>
      </c>
      <c r="E11" s="4" t="inlineStr">
        <is>
          <t>Pro plan</t>
        </is>
      </c>
      <c r="F11" s="4" t="inlineStr">
        <is>
          <t>Enrichment and orchestration spine. Waterfall enrichment, Claygent, signal aggregation. Clay Solutions Partner.</t>
        </is>
      </c>
      <c r="G11" s="6" t="inlineStr">
        <is>
          <t>https://www.clay.com</t>
        </is>
      </c>
    </row>
    <row r="12">
      <c r="A12" s="4" t="inlineStr">
        <is>
          <t>Enrichment &amp; orchestration</t>
        </is>
      </c>
      <c r="B12" s="4" t="inlineStr">
        <is>
          <t>Findymail</t>
        </is>
      </c>
      <c r="C12" s="4" t="inlineStr">
        <is>
          <t>Waterfall</t>
        </is>
      </c>
      <c r="D12" s="5" t="n">
        <v>69</v>
      </c>
      <c r="E12" s="4" t="inlineStr"/>
      <c r="F12" s="4" t="inlineStr">
        <is>
          <t>Validated finds inside the waterfall. Best hit rate on personal emails of small business owners and founders.</t>
        </is>
      </c>
      <c r="G12" s="6" t="inlineStr">
        <is>
          <t>https://www.findymail.com</t>
        </is>
      </c>
    </row>
    <row r="13">
      <c r="A13" s="4" t="inlineStr">
        <is>
          <t>Enrichment &amp; orchestration</t>
        </is>
      </c>
      <c r="B13" s="4" t="inlineStr">
        <is>
          <t>Datagma</t>
        </is>
      </c>
      <c r="C13" s="4" t="inlineStr">
        <is>
          <t>Waterfall</t>
        </is>
      </c>
      <c r="D13" s="5" t="n">
        <v>89</v>
      </c>
      <c r="E13" s="4" t="inlineStr"/>
      <c r="F13" s="4" t="inlineStr">
        <is>
          <t>Strong in EU markets where Apollo lags. Also phone enrichment.</t>
        </is>
      </c>
      <c r="G13" s="6" t="inlineStr">
        <is>
          <t>https://datagma.com</t>
        </is>
      </c>
    </row>
    <row r="14">
      <c r="A14" s="4" t="inlineStr">
        <is>
          <t>Enrichment &amp; orchestration</t>
        </is>
      </c>
      <c r="B14" s="4" t="inlineStr">
        <is>
          <t>Hunter</t>
        </is>
      </c>
      <c r="C14" s="4" t="inlineStr">
        <is>
          <t>Verification</t>
        </is>
      </c>
      <c r="D14" s="5" t="n">
        <v>49</v>
      </c>
      <c r="E14" s="4" t="inlineStr"/>
      <c r="F14" s="4" t="inlineStr">
        <is>
          <t>Verification step in the waterfall. Lower false-positive rate than alternatives.</t>
        </is>
      </c>
      <c r="G14" s="6" t="inlineStr">
        <is>
          <t>https://hunter.io</t>
        </is>
      </c>
    </row>
    <row r="15">
      <c r="A15" s="7" t="n"/>
      <c r="B15" s="8" t="inlineStr">
        <is>
          <t>Subtotal Enrichment &amp; orchestration</t>
        </is>
      </c>
      <c r="C15" s="7" t="n"/>
      <c r="D15" s="9">
        <f>SUM(D11:D14)</f>
        <v/>
      </c>
      <c r="E15" s="7" t="inlineStr">
        <is>
          <t>closed:in budgets ~€800 incl. variable items</t>
        </is>
      </c>
      <c r="F15" s="7" t="n"/>
      <c r="G15" s="7" t="n"/>
    </row>
    <row r="16">
      <c r="A16" s="4" t="inlineStr">
        <is>
          <t>Sending &amp; deliverability</t>
        </is>
      </c>
      <c r="B16" s="4" t="inlineStr">
        <is>
          <t>Instantly</t>
        </is>
      </c>
      <c r="C16" s="4" t="inlineStr">
        <is>
          <t>Core, Expert</t>
        </is>
      </c>
      <c r="D16" s="5" t="n">
        <v>297</v>
      </c>
      <c r="E16" s="4" t="inlineStr">
        <is>
          <t>Hyper plan</t>
        </is>
      </c>
      <c r="F16" s="4" t="inlineStr">
        <is>
          <t>Cold email infrastructure. Unlimited inboxes, built-in warmup, sequences. Instantly Certified Expert.</t>
        </is>
      </c>
      <c r="G16" s="6" t="inlineStr">
        <is>
          <t>https://instantly.ai</t>
        </is>
      </c>
    </row>
    <row r="17">
      <c r="A17" s="4" t="inlineStr">
        <is>
          <t>Sending &amp; deliverability</t>
        </is>
      </c>
      <c r="B17" s="4" t="inlineStr">
        <is>
          <t>Domain providers (Cloudflare, Namecheap)</t>
        </is>
      </c>
      <c r="C17" s="4" t="inlineStr">
        <is>
          <t>Infrastructure</t>
        </is>
      </c>
      <c r="D17" s="5" t="n">
        <v>100</v>
      </c>
      <c r="E17" s="4" t="inlineStr">
        <is>
          <t>variable, annual spread monthly</t>
        </is>
      </c>
      <c r="F17" s="4" t="inlineStr">
        <is>
          <t>Alternate sending domains, 2 to 3 per client. Never send cold from your main domain.</t>
        </is>
      </c>
      <c r="G17" s="6" t="inlineStr">
        <is>
          <t>https://www.cloudflare.com</t>
        </is>
      </c>
    </row>
    <row r="18">
      <c r="A18" s="4" t="inlineStr">
        <is>
          <t>Sending &amp; deliverability</t>
        </is>
      </c>
      <c r="B18" s="4" t="inlineStr">
        <is>
          <t>Google Workspace / Microsoft 365</t>
        </is>
      </c>
      <c r="C18" s="4" t="inlineStr">
        <is>
          <t>Infrastructure</t>
        </is>
      </c>
      <c r="D18" s="5" t="n">
        <v>100</v>
      </c>
      <c r="E18" s="4" t="inlineStr">
        <is>
          <t>per client</t>
        </is>
      </c>
      <c r="F18" s="4" t="inlineStr">
        <is>
          <t>2 inboxes per sending domain. Google for most, Microsoft where the client runs M365.</t>
        </is>
      </c>
      <c r="G18" s="6" t="inlineStr">
        <is>
          <t>https://workspace.google.com</t>
        </is>
      </c>
    </row>
    <row r="19">
      <c r="A19" s="7" t="n"/>
      <c r="B19" s="8" t="inlineStr">
        <is>
          <t>Subtotal Sending &amp; deliverability</t>
        </is>
      </c>
      <c r="C19" s="7" t="n"/>
      <c r="D19" s="9">
        <f>SUM(D16:D18)</f>
        <v/>
      </c>
      <c r="E19" s="7" t="inlineStr">
        <is>
          <t>closed:in budgets ~€500 incl. variable items</t>
        </is>
      </c>
      <c r="F19" s="7" t="n"/>
      <c r="G19" s="7" t="n"/>
    </row>
    <row r="20">
      <c r="A20" s="4" t="inlineStr">
        <is>
          <t>CRM &amp; automation</t>
        </is>
      </c>
      <c r="B20" s="4" t="inlineStr">
        <is>
          <t>Close CRM</t>
        </is>
      </c>
      <c r="C20" s="4" t="inlineStr">
        <is>
          <t>Core</t>
        </is>
      </c>
      <c r="D20" s="5" t="n">
        <v>109</v>
      </c>
      <c r="E20" s="4" t="inlineStr">
        <is>
          <t>per seat</t>
        </is>
      </c>
      <c r="F20" s="4" t="inlineStr">
        <is>
          <t>Pipeline, reply handling, call and email tracking. Clean API for the Clay integration.</t>
        </is>
      </c>
      <c r="G20" s="6" t="inlineStr">
        <is>
          <t>https://www.close.com</t>
        </is>
      </c>
    </row>
    <row r="21">
      <c r="A21" s="4" t="inlineStr">
        <is>
          <t>CRM &amp; automation</t>
        </is>
      </c>
      <c r="B21" s="4" t="inlineStr">
        <is>
          <t>n8n (self-hosted)</t>
        </is>
      </c>
      <c r="C21" s="4" t="inlineStr">
        <is>
          <t>Automation</t>
        </is>
      </c>
      <c r="D21" s="5" t="n">
        <v>20</v>
      </c>
      <c r="E21" s="4" t="inlineStr">
        <is>
          <t>hosting</t>
        </is>
      </c>
      <c r="F21" s="4" t="inlineStr">
        <is>
          <t>Workflow automation between Clay, Close and Instantly. Self-hosted on Hetzner. Cron jobs, webhooks, custom logic.</t>
        </is>
      </c>
      <c r="G21" s="6" t="inlineStr">
        <is>
          <t>https://n8n.io</t>
        </is>
      </c>
    </row>
    <row r="22">
      <c r="A22" s="4" t="inlineStr">
        <is>
          <t>CRM &amp; automation</t>
        </is>
      </c>
      <c r="B22" s="4" t="inlineStr">
        <is>
          <t>Neetocal</t>
        </is>
      </c>
      <c r="C22" s="4" t="inlineStr">
        <is>
          <t>Meetings</t>
        </is>
      </c>
      <c r="D22" s="5" t="n">
        <v>29</v>
      </c>
      <c r="E22" s="4" t="inlineStr">
        <is>
          <t>team</t>
        </is>
      </c>
      <c r="F22" s="4" t="inlineStr">
        <is>
          <t>Calendly alternative. Cheaper, faster booking widget.</t>
        </is>
      </c>
      <c r="G22" s="6" t="inlineStr">
        <is>
          <t>https://neetocal.com</t>
        </is>
      </c>
    </row>
    <row r="23">
      <c r="A23" s="4" t="inlineStr">
        <is>
          <t>CRM &amp; automation</t>
        </is>
      </c>
      <c r="B23" s="4" t="inlineStr">
        <is>
          <t>Slack</t>
        </is>
      </c>
      <c r="C23" s="4" t="inlineStr">
        <is>
          <t>Internal</t>
        </is>
      </c>
      <c r="D23" s="5" t="n">
        <v>60</v>
      </c>
      <c r="E23" s="4" t="inlineStr">
        <is>
          <t>team</t>
        </is>
      </c>
      <c r="F23" s="4" t="inlineStr">
        <is>
          <t>Internal comms and client channels via Slack Connect.</t>
        </is>
      </c>
      <c r="G23" s="6" t="inlineStr">
        <is>
          <t>https://slack.com</t>
        </is>
      </c>
    </row>
    <row r="24">
      <c r="A24" s="7" t="n"/>
      <c r="B24" s="8" t="inlineStr">
        <is>
          <t>Subtotal CRM &amp; automation</t>
        </is>
      </c>
      <c r="C24" s="7" t="n"/>
      <c r="D24" s="9">
        <f>SUM(D20:D23)</f>
        <v/>
      </c>
      <c r="E24" s="7" t="inlineStr">
        <is>
          <t>closed:in budgets ~€450 incl. variable items</t>
        </is>
      </c>
      <c r="F24" s="7" t="n"/>
      <c r="G24" s="7" t="n"/>
    </row>
    <row r="25">
      <c r="A25" s="4" t="inlineStr">
        <is>
          <t>AI &amp; agents</t>
        </is>
      </c>
      <c r="B25" s="4" t="inlineStr">
        <is>
          <t>Claude (Max plan)</t>
        </is>
      </c>
      <c r="C25" s="4" t="inlineStr">
        <is>
          <t>Core</t>
        </is>
      </c>
      <c r="D25" s="5" t="n">
        <v>100</v>
      </c>
      <c r="E25" s="4" t="inlineStr"/>
      <c r="F25" s="4" t="inlineStr">
        <is>
          <t>Primary AI for sales, copy and automation. Claude Code for engineering work.</t>
        </is>
      </c>
      <c r="G25" s="6" t="inlineStr">
        <is>
          <t>https://claude.ai</t>
        </is>
      </c>
    </row>
    <row r="26">
      <c r="A26" s="4" t="inlineStr">
        <is>
          <t>AI &amp; agents</t>
        </is>
      </c>
      <c r="B26" s="4" t="inlineStr">
        <is>
          <t>ChatGPT Pro</t>
        </is>
      </c>
      <c r="C26" s="4" t="inlineStr">
        <is>
          <t>Backup</t>
        </is>
      </c>
      <c r="D26" s="5" t="n">
        <v>20</v>
      </c>
      <c r="E26" s="4" t="inlineStr"/>
      <c r="F26" s="4" t="inlineStr">
        <is>
          <t>Cheap backup. Image generation and quick lookups.</t>
        </is>
      </c>
      <c r="G26" s="6" t="inlineStr">
        <is>
          <t>https://chatgpt.com</t>
        </is>
      </c>
    </row>
    <row r="27">
      <c r="A27" s="4" t="inlineStr">
        <is>
          <t>AI &amp; agents</t>
        </is>
      </c>
      <c r="B27" s="4" t="inlineStr">
        <is>
          <t>Anthropic API + OpenAI API</t>
        </is>
      </c>
      <c r="C27" s="4" t="inlineStr">
        <is>
          <t>Inside Clay</t>
        </is>
      </c>
      <c r="D27" s="4" t="inlineStr">
        <is>
          <t>Variable</t>
        </is>
      </c>
      <c r="E27" s="4" t="inlineStr">
        <is>
          <t>variable, per token</t>
        </is>
      </c>
      <c r="F27" s="4" t="inlineStr">
        <is>
          <t>Runs inside Clay Claygent prompts. Scales with campaign volume.</t>
        </is>
      </c>
      <c r="G27" s="6" t="inlineStr">
        <is>
          <t>https://www.anthropic.com</t>
        </is>
      </c>
    </row>
    <row r="28">
      <c r="A28" s="7" t="n"/>
      <c r="B28" s="8" t="inlineStr">
        <is>
          <t>Subtotal AI &amp; agents</t>
        </is>
      </c>
      <c r="C28" s="7" t="n"/>
      <c r="D28" s="9">
        <f>SUM(D25:D27)</f>
        <v/>
      </c>
      <c r="E28" s="7" t="inlineStr">
        <is>
          <t>closed:in budgets ~€300 incl. variable items</t>
        </is>
      </c>
      <c r="F28" s="7" t="n"/>
      <c r="G28" s="7" t="n"/>
    </row>
    <row r="29">
      <c r="A29" s="4" t="inlineStr">
        <is>
          <t>Analytics, infra &amp; misc</t>
        </is>
      </c>
      <c r="B29" s="4" t="inlineStr">
        <is>
          <t>Vercel</t>
        </is>
      </c>
      <c r="C29" s="4" t="inlineStr">
        <is>
          <t>Core</t>
        </is>
      </c>
      <c r="D29" s="5" t="n">
        <v>20</v>
      </c>
      <c r="E29" s="4" t="inlineStr">
        <is>
          <t>Pro plan</t>
        </is>
      </c>
      <c r="F29" s="4" t="inlineStr">
        <is>
          <t>Hosts closedin.io, internal dashboards, partner portals. Web Analytics and Speed Insights included.</t>
        </is>
      </c>
      <c r="G29" s="6" t="inlineStr">
        <is>
          <t>https://vercel.com</t>
        </is>
      </c>
    </row>
    <row r="30">
      <c r="A30" s="4" t="inlineStr">
        <is>
          <t>Analytics, infra &amp; misc</t>
        </is>
      </c>
      <c r="B30" s="4" t="inlineStr">
        <is>
          <t>Supabase</t>
        </is>
      </c>
      <c r="C30" s="4" t="inlineStr">
        <is>
          <t>Backend</t>
        </is>
      </c>
      <c r="D30" s="5" t="n">
        <v>25</v>
      </c>
      <c r="E30" s="4" t="inlineStr">
        <is>
          <t>Pro plan</t>
        </is>
      </c>
      <c r="F30" s="4" t="inlineStr">
        <is>
          <t>Postgres and Auth for internal tools.</t>
        </is>
      </c>
      <c r="G30" s="6" t="inlineStr">
        <is>
          <t>https://supabase.com</t>
        </is>
      </c>
    </row>
    <row r="31">
      <c r="A31" s="4" t="inlineStr">
        <is>
          <t>Analytics, infra &amp; misc</t>
        </is>
      </c>
      <c r="B31" s="4" t="inlineStr">
        <is>
          <t>Fireflies</t>
        </is>
      </c>
      <c r="C31" s="4" t="inlineStr">
        <is>
          <t>Meetings</t>
        </is>
      </c>
      <c r="D31" s="5" t="n">
        <v>19</v>
      </c>
      <c r="E31" s="4" t="inlineStr">
        <is>
          <t>per seat</t>
        </is>
      </c>
      <c r="F31" s="4" t="inlineStr">
        <is>
          <t>Meeting transcripts, auto-joins Zoom and Google Meet.</t>
        </is>
      </c>
      <c r="G31" s="6" t="inlineStr">
        <is>
          <t>https://fireflies.ai</t>
        </is>
      </c>
    </row>
    <row r="32">
      <c r="A32" s="4" t="inlineStr">
        <is>
          <t>Analytics, infra &amp; misc</t>
        </is>
      </c>
      <c r="B32" s="4" t="inlineStr">
        <is>
          <t>Moneybird</t>
        </is>
      </c>
      <c r="C32" s="4" t="inlineStr">
        <is>
          <t>Finance</t>
        </is>
      </c>
      <c r="D32" s="5" t="n">
        <v>20</v>
      </c>
      <c r="E32" s="4" t="inlineStr"/>
      <c r="F32" s="4" t="inlineStr">
        <is>
          <t>Dutch accounting: invoicing, expenses, tax reporting.</t>
        </is>
      </c>
      <c r="G32" s="6" t="inlineStr">
        <is>
          <t>https://www.moneybird.nl</t>
        </is>
      </c>
    </row>
    <row r="33">
      <c r="A33" s="4" t="inlineStr">
        <is>
          <t>Analytics, infra &amp; misc</t>
        </is>
      </c>
      <c r="B33" s="4" t="inlineStr">
        <is>
          <t>Beehiiv</t>
        </is>
      </c>
      <c r="C33" s="4" t="inlineStr">
        <is>
          <t>Newsletter</t>
        </is>
      </c>
      <c r="D33" s="5" t="n">
        <v>39</v>
      </c>
      <c r="E33" s="4" t="inlineStr">
        <is>
          <t>Pro plan</t>
        </is>
      </c>
      <c r="F33" s="4" t="inlineStr">
        <is>
          <t>Newsletter platform. Recommendations and boosts for growth.</t>
        </is>
      </c>
      <c r="G33" s="6" t="inlineStr">
        <is>
          <t>https://www.beehiiv.com</t>
        </is>
      </c>
    </row>
    <row r="34">
      <c r="A34" s="7" t="n"/>
      <c r="B34" s="8" t="inlineStr">
        <is>
          <t>Subtotal Analytics, infra &amp; misc</t>
        </is>
      </c>
      <c r="C34" s="7" t="n"/>
      <c r="D34" s="9">
        <f>SUM(D29:D33)</f>
        <v/>
      </c>
      <c r="E34" s="7" t="inlineStr">
        <is>
          <t>closed:in budgets ~€200 incl. variable items</t>
        </is>
      </c>
      <c r="F34" s="7" t="n"/>
      <c r="G34" s="7" t="n"/>
    </row>
    <row r="35">
      <c r="A35" s="10" t="n"/>
      <c r="B35" s="10" t="inlineStr">
        <is>
          <t>Total, fixed line items</t>
        </is>
      </c>
      <c r="C35" s="10" t="n"/>
      <c r="D35" s="11">
        <f>D10+D15+D19+D24+D28+D34</f>
        <v/>
      </c>
      <c r="E35" s="10" t="inlineStr">
        <is>
          <t>closed:in all-in budget ~€2,750 / month incl. variable items</t>
        </is>
      </c>
      <c r="F35" s="10" t="n"/>
      <c r="G35" s="10" t="n"/>
    </row>
    <row r="37" ht="34" customHeight="1">
      <c r="A37" s="12" t="inlineStr">
        <is>
          <t>For a 2-founder agency running 6+ active clients. Per client we charge €5K to €8K per month, so the stack is roughly 5 to 8% of revenue. Guide with buying order per category: https://www.closedin.io/downloads/gtm-stack.pdf</t>
        </is>
      </c>
    </row>
  </sheetData>
  <autoFilter ref="A4:G34"/>
  <mergeCells count="2">
    <mergeCell ref="A2:G2"/>
    <mergeCell ref="A37:G37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5" r:id="rId17"/>
    <hyperlink xmlns:r="http://schemas.openxmlformats.org/officeDocument/2006/relationships" ref="G26" r:id="rId18"/>
    <hyperlink xmlns:r="http://schemas.openxmlformats.org/officeDocument/2006/relationships" ref="G27" r:id="rId19"/>
    <hyperlink xmlns:r="http://schemas.openxmlformats.org/officeDocument/2006/relationships" ref="G29" r:id="rId20"/>
    <hyperlink xmlns:r="http://schemas.openxmlformats.org/officeDocument/2006/relationships" ref="G30" r:id="rId21"/>
    <hyperlink xmlns:r="http://schemas.openxmlformats.org/officeDocument/2006/relationships" ref="G31" r:id="rId22"/>
    <hyperlink xmlns:r="http://schemas.openxmlformats.org/officeDocument/2006/relationships" ref="G32" r:id="rId23"/>
    <hyperlink xmlns:r="http://schemas.openxmlformats.org/officeDocument/2006/relationships" ref="G33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2026-09-26T11:15:44Z</dcterms:created>
  <dcterms:modified xmlns:dcterms="http://purl.org/dc/terms/" xmlns:xsi="http://www.w3.org/2001/XMLSchema-instance" xsi:type="dcterms:W3CDTF">2026-09-26T11:15:44Z</dcterms:modified>
</cp:coreProperties>
</file>